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i5\Desktop\"/>
    </mc:Choice>
  </mc:AlternateContent>
  <bookViews>
    <workbookView xWindow="0" yWindow="0" windowWidth="19200" windowHeight="69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6" i="1" l="1"/>
  <c r="B38" i="1" l="1"/>
  <c r="B32" i="1"/>
  <c r="B44" i="1"/>
  <c r="B43" i="1"/>
  <c r="B42" i="1"/>
  <c r="B41" i="1"/>
  <c r="B40" i="1"/>
  <c r="B39" i="1"/>
  <c r="B37" i="1"/>
  <c r="B34" i="1"/>
  <c r="B33" i="1"/>
  <c r="B35" i="1" a="1"/>
  <c r="B35" i="1" s="1"/>
  <c r="B30" i="1"/>
  <c r="B23" i="1"/>
  <c r="O7" i="1"/>
  <c r="O6" i="1"/>
  <c r="O5" i="1"/>
  <c r="O4" i="1"/>
  <c r="B25" i="1" s="1"/>
  <c r="O3" i="1"/>
  <c r="B28" i="1" l="1"/>
  <c r="B31" i="1" s="1"/>
  <c r="B45" i="1" a="1"/>
  <c r="B45" i="1" s="1"/>
  <c r="B27" i="1"/>
</calcChain>
</file>

<file path=xl/sharedStrings.xml><?xml version="1.0" encoding="utf-8"?>
<sst xmlns="http://schemas.openxmlformats.org/spreadsheetml/2006/main" count="69" uniqueCount="45">
  <si>
    <t>Package Booking</t>
  </si>
  <si>
    <t>Email ID</t>
  </si>
  <si>
    <t>Package Type</t>
  </si>
  <si>
    <t>No. of Travellers</t>
  </si>
  <si>
    <t>Start Date</t>
  </si>
  <si>
    <t>Total Days</t>
  </si>
  <si>
    <t>Paragliding</t>
  </si>
  <si>
    <t>Chair Lift Ride</t>
  </si>
  <si>
    <t>Jeep Sawari</t>
  </si>
  <si>
    <t>Guided Hiking</t>
  </si>
  <si>
    <t>Parasailing</t>
  </si>
  <si>
    <t>Cable Car Ride</t>
  </si>
  <si>
    <t>Boating</t>
  </si>
  <si>
    <t>Skiing</t>
  </si>
  <si>
    <t>Insurance</t>
  </si>
  <si>
    <t>Total Cost</t>
  </si>
  <si>
    <t>zaineb@gmail.com</t>
  </si>
  <si>
    <t>Azad Kashmir Package</t>
  </si>
  <si>
    <t>22/4/2026</t>
  </si>
  <si>
    <t>meow@gmail.com</t>
  </si>
  <si>
    <t>Naran Package</t>
  </si>
  <si>
    <t>18/4/2026</t>
  </si>
  <si>
    <t>zuni@gmail.com</t>
  </si>
  <si>
    <t>23/5/2026</t>
  </si>
  <si>
    <t>ahmad@gmail.com</t>
  </si>
  <si>
    <t>Hunza Package</t>
  </si>
  <si>
    <t>haha@gmail.com</t>
  </si>
  <si>
    <t>15/3/2026</t>
  </si>
  <si>
    <t>Activities</t>
  </si>
  <si>
    <t>Cost (PKR)</t>
  </si>
  <si>
    <t>Base Price (PKR)</t>
  </si>
  <si>
    <t>Jeep Safari</t>
  </si>
  <si>
    <t>Summary Dashboard</t>
  </si>
  <si>
    <t>Total Travellers</t>
  </si>
  <si>
    <t>Revenue Generated (PKR)</t>
  </si>
  <si>
    <t>Naran Revenue</t>
  </si>
  <si>
    <t>Hunza Revenue</t>
  </si>
  <si>
    <t>Azad Kashmir Revenue</t>
  </si>
  <si>
    <t>Total Revenue</t>
  </si>
  <si>
    <t>Bookings</t>
  </si>
  <si>
    <t>Total Bookings</t>
  </si>
  <si>
    <t>Average Booking Value</t>
  </si>
  <si>
    <t>Most Popular Package</t>
  </si>
  <si>
    <t>Activity Performance</t>
  </si>
  <si>
    <t>Most Selected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</si>
</sst>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b/>
      <i/>
      <sz val="14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b/>
      <sz val="10"/>
      <color theme="1"/>
      <name val="Roboto"/>
    </font>
    <font>
      <sz val="9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Arial"/>
      <scheme val="minor"/>
    </font>
    <font>
      <sz val="10"/>
      <color rgb="FFFFFFFF"/>
      <name val="Arial"/>
      <scheme val="minor"/>
    </font>
    <font>
      <sz val="10"/>
      <color rgb="FF000000"/>
      <name val="Arial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A568D"/>
        <bgColor rgb="FF4A568D"/>
      </patternFill>
    </fill>
    <fill>
      <patternFill patternType="solid">
        <fgColor rgb="FF636D98"/>
        <bgColor rgb="FF636D98"/>
      </patternFill>
    </fill>
    <fill>
      <patternFill patternType="solid">
        <fgColor rgb="FFB7B7B7"/>
        <bgColor rgb="FFB7B7B7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/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thin">
        <color rgb="FF000000"/>
      </right>
      <top style="dotted">
        <color rgb="FF000000"/>
      </top>
      <bottom/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7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2" fillId="8" borderId="12" xfId="0" applyFont="1" applyFill="1" applyBorder="1" applyAlignment="1">
      <alignment horizontal="center"/>
    </xf>
    <xf numFmtId="0" fontId="13" fillId="0" borderId="13" xfId="0" applyFont="1" applyBorder="1"/>
    <xf numFmtId="0" fontId="12" fillId="8" borderId="10" xfId="0" applyFont="1" applyFill="1" applyBorder="1" applyAlignment="1">
      <alignment horizontal="center"/>
    </xf>
    <xf numFmtId="0" fontId="13" fillId="0" borderId="11" xfId="0" applyFont="1" applyBorder="1"/>
    <xf numFmtId="0" fontId="1" fillId="2" borderId="0" xfId="0" applyFont="1" applyFill="1" applyAlignment="1">
      <alignment horizontal="center" vertical="top"/>
    </xf>
    <xf numFmtId="0" fontId="0" fillId="0" borderId="0" xfId="0" applyFont="1" applyAlignment="1"/>
    <xf numFmtId="0" fontId="10" fillId="6" borderId="3" xfId="0" applyFont="1" applyFill="1" applyBorder="1" applyAlignment="1">
      <alignment horizontal="center"/>
    </xf>
    <xf numFmtId="0" fontId="0" fillId="0" borderId="4" xfId="0" applyFont="1" applyBorder="1" applyAlignment="1"/>
    <xf numFmtId="0" fontId="12" fillId="8" borderId="7" xfId="0" applyFont="1" applyFill="1" applyBorder="1" applyAlignment="1">
      <alignment horizontal="center"/>
    </xf>
    <xf numFmtId="0" fontId="13" fillId="0" borderId="8" xfId="0" applyFont="1" applyBorder="1"/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2">
    <tableStyle name="Sheet1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heet1-style 2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Generated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132-40DF-8754-C4B0B089618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132-40DF-8754-C4B0B089618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132-40DF-8754-C4B0B08961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Sheet1!$A$25:$A$27</c:f>
              <c:strCache>
                <c:ptCount val="3"/>
                <c:pt idx="0">
                  <c:v>Naran Revenue</c:v>
                </c:pt>
                <c:pt idx="1">
                  <c:v>Hunza Revenue</c:v>
                </c:pt>
                <c:pt idx="2">
                  <c:v>Azad Kashmir Revenue</c:v>
                </c:pt>
              </c:strCache>
            </c:strRef>
          </c:cat>
          <c:val>
            <c:numRef>
              <c:f>Sheet1!$B$25:$B$27</c:f>
              <c:numCache>
                <c:formatCode>General</c:formatCode>
                <c:ptCount val="3"/>
                <c:pt idx="0">
                  <c:v>474000</c:v>
                </c:pt>
                <c:pt idx="1">
                  <c:v>126000</c:v>
                </c:pt>
                <c:pt idx="2">
                  <c:v>901000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32-40DF-8754-C4B0B0896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Activities Performed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4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4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4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DDF-40DB-9E0A-7BED559745E8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6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DDF-40DB-9E0A-7BED559745E8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DDF-40DB-9E0A-7BED559745E8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DDF-40DB-9E0A-7BED559745E8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DDF-40DB-9E0A-7BED559745E8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DDF-40DB-9E0A-7BED559745E8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6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DDF-40DB-9E0A-7BED559745E8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4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4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4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0DDF-40DB-9E0A-7BED559745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Sheet1!$A$37:$A$44</c:f>
              <c:strCache>
                <c:ptCount val="8"/>
                <c:pt idx="0">
                  <c:v>Paragliding</c:v>
                </c:pt>
                <c:pt idx="1">
                  <c:v>Chair Lift Ride</c:v>
                </c:pt>
                <c:pt idx="2">
                  <c:v>Jeep Sawari</c:v>
                </c:pt>
                <c:pt idx="3">
                  <c:v>Guided Hiking</c:v>
                </c:pt>
                <c:pt idx="4">
                  <c:v>Parasailing</c:v>
                </c:pt>
                <c:pt idx="5">
                  <c:v>Cable Car Ride</c:v>
                </c:pt>
                <c:pt idx="6">
                  <c:v>Boating</c:v>
                </c:pt>
                <c:pt idx="7">
                  <c:v>Skiing</c:v>
                </c:pt>
              </c:strCache>
            </c:strRef>
          </c:cat>
          <c:val>
            <c:numRef>
              <c:f>Sheet1!$B$37:$B$44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4-421F-9831-3BD616047F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9223834"/>
        <c:axId val="1926651014"/>
        <c:axId val="0"/>
      </c:bar3DChart>
      <c:catAx>
        <c:axId val="34922383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651014"/>
        <c:crosses val="autoZero"/>
        <c:auto val="1"/>
        <c:lblAlgn val="ctr"/>
        <c:lblOffset val="100"/>
        <c:noMultiLvlLbl val="1"/>
      </c:catAx>
      <c:valAx>
        <c:axId val="19266510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238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1352550</xdr:colOff>
      <xdr:row>21</xdr:row>
      <xdr:rowOff>28575</xdr:rowOff>
    </xdr:from>
    <xdr:ext cx="5715000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142875</xdr:colOff>
      <xdr:row>21</xdr:row>
      <xdr:rowOff>28575</xdr:rowOff>
    </xdr:from>
    <xdr:ext cx="5715000" cy="3533775"/>
    <xdr:graphicFrame macro="">
      <xdr:nvGraphicFramePr>
        <xdr:cNvPr id="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1" displayName="Table1" ref="A11:B19">
  <tableColumns count="2">
    <tableColumn id="1" name="Activities"/>
    <tableColumn id="2" name="Cost (PKR)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D11:E14">
  <tableColumns count="2">
    <tableColumn id="1" name="Package Type"/>
    <tableColumn id="2" name="Base Price (PKR)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48"/>
  <sheetViews>
    <sheetView tabSelected="1" zoomScale="63" workbookViewId="0">
      <selection activeCell="F16" sqref="F16"/>
    </sheetView>
  </sheetViews>
  <sheetFormatPr defaultColWidth="12.6328125" defaultRowHeight="15.75" customHeight="1"/>
  <cols>
    <col min="1" max="1" width="18.90625" customWidth="1"/>
    <col min="2" max="2" width="20" customWidth="1"/>
    <col min="3" max="3" width="18.1796875" customWidth="1"/>
    <col min="4" max="4" width="17.90625" customWidth="1"/>
    <col min="5" max="5" width="15.90625" customWidth="1"/>
    <col min="6" max="6" width="15.36328125" customWidth="1"/>
    <col min="7" max="7" width="12.90625" customWidth="1"/>
    <col min="8" max="8" width="11.453125" customWidth="1"/>
    <col min="9" max="9" width="11.90625" customWidth="1"/>
    <col min="10" max="10" width="11.7265625" customWidth="1"/>
  </cols>
  <sheetData>
    <row r="1" spans="1:15" ht="23.2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3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3" t="s">
        <v>15</v>
      </c>
    </row>
    <row r="3" spans="1:15" ht="12.5">
      <c r="A3" s="4" t="s">
        <v>16</v>
      </c>
      <c r="B3" s="4" t="s">
        <v>17</v>
      </c>
      <c r="C3" s="4">
        <v>4</v>
      </c>
      <c r="D3" s="4" t="s">
        <v>18</v>
      </c>
      <c r="E3" s="4">
        <v>5</v>
      </c>
      <c r="F3" s="4" t="b">
        <v>1</v>
      </c>
      <c r="G3" s="5" t="b">
        <v>0</v>
      </c>
      <c r="H3" s="6" t="b">
        <v>0</v>
      </c>
      <c r="I3" s="5" t="b">
        <v>0</v>
      </c>
      <c r="J3" s="6" t="b">
        <v>0</v>
      </c>
      <c r="K3" s="6" t="b">
        <v>0</v>
      </c>
      <c r="L3" s="5" t="b">
        <v>0</v>
      </c>
      <c r="M3" s="6" t="b">
        <v>1</v>
      </c>
      <c r="N3" s="5" t="b">
        <v>0</v>
      </c>
      <c r="O3" s="5">
        <f>C3*(IF(F3=TRUE, 8000, 0)+IF(G3=TRUE, 3000, 0)+IF(H3=TRUE, 12000, 0)+IF(I3=TRUE, 6000, 0)+IF(J3=TRUE, 10000, 0)+IF(K3=TRUE, 4000, 0)+IF(L3=TRUE, 5000, 0)+IF(M3=TRUE, 15000, 0)+IF(N3=TRUE, 2000*C3, 0)+VLOOKUP(B3, Sheet1!D12:E14, 2, FALSE))</f>
        <v>252000</v>
      </c>
    </row>
    <row r="4" spans="1:15" ht="12.5">
      <c r="A4" s="4" t="s">
        <v>19</v>
      </c>
      <c r="B4" s="4" t="s">
        <v>20</v>
      </c>
      <c r="C4" s="4">
        <v>6</v>
      </c>
      <c r="D4" s="4" t="s">
        <v>21</v>
      </c>
      <c r="E4" s="4">
        <v>5</v>
      </c>
      <c r="F4" s="4" t="b">
        <v>1</v>
      </c>
      <c r="G4" s="6" t="b">
        <v>1</v>
      </c>
      <c r="H4" s="5" t="b">
        <v>0</v>
      </c>
      <c r="I4" s="6" t="b">
        <v>1</v>
      </c>
      <c r="J4" s="5" t="b">
        <v>0</v>
      </c>
      <c r="K4" s="5" t="b">
        <v>0</v>
      </c>
      <c r="L4" s="6" t="b">
        <v>1</v>
      </c>
      <c r="M4" s="5" t="b">
        <v>1</v>
      </c>
      <c r="N4" s="6" t="b">
        <v>1</v>
      </c>
      <c r="O4" s="5">
        <f>C4*(IF(F4=TRUE, 8000, 0)+IF(G4=TRUE, 3000, 0)+IF(H4=TRUE, 12000, 0)+IF(I4=TRUE, 6000, 0)+IF(J4=TRUE, 10000, 0)+IF(K4=TRUE, 4000, 0)+IF(L4=TRUE, 5000, 0)+IF(M4=TRUE, 15000, 0)+IF(N4=TRUE, 2000*C3, 0)+VLOOKUP(B4, Sheet1!D12:E14, 2, FALSE))</f>
        <v>474000</v>
      </c>
    </row>
    <row r="5" spans="1:15" ht="12.5">
      <c r="A5" s="4" t="s">
        <v>22</v>
      </c>
      <c r="B5" s="4" t="s">
        <v>17</v>
      </c>
      <c r="C5" s="4">
        <v>8</v>
      </c>
      <c r="D5" s="4" t="s">
        <v>23</v>
      </c>
      <c r="E5" s="4">
        <v>5</v>
      </c>
      <c r="F5" s="4" t="b">
        <v>1</v>
      </c>
      <c r="G5" s="6" t="b">
        <v>1</v>
      </c>
      <c r="H5" s="6" t="b">
        <v>0</v>
      </c>
      <c r="I5" s="5" t="b">
        <v>0</v>
      </c>
      <c r="J5" s="6" t="b">
        <v>1</v>
      </c>
      <c r="K5" s="6" t="b">
        <v>1</v>
      </c>
      <c r="L5" s="6" t="b">
        <v>1</v>
      </c>
      <c r="M5" s="6" t="b">
        <v>0</v>
      </c>
      <c r="N5" s="5" t="b">
        <v>0</v>
      </c>
      <c r="O5" s="5">
        <f>C5*(IF(F5=TRUE, 8000, 0)+IF(G5=TRUE, 3000, 0)+IF(H5=TRUE, 12000, 0)+IF(I5=TRUE, 6000, 0)+IF(J5=TRUE, 10000, 0)+IF(K5=TRUE, 4000, 0)+IF(L5=TRUE, 5000, 0)+IF(M5=TRUE, 15000, 0)+IF(N5=TRUE, 2000*C4, 0)+VLOOKUP(B5, Sheet1!D12:E14, 2, FALSE))</f>
        <v>560000</v>
      </c>
    </row>
    <row r="6" spans="1:15" ht="12.5">
      <c r="A6" s="4" t="s">
        <v>24</v>
      </c>
      <c r="B6" s="4" t="s">
        <v>25</v>
      </c>
      <c r="C6" s="4">
        <v>2</v>
      </c>
      <c r="D6" s="7">
        <v>46302</v>
      </c>
      <c r="E6" s="4">
        <v>5</v>
      </c>
      <c r="F6" s="8" t="b">
        <v>1</v>
      </c>
      <c r="G6" s="6" t="b">
        <v>1</v>
      </c>
      <c r="H6" s="5" t="b">
        <v>0</v>
      </c>
      <c r="I6" s="6" t="b">
        <v>0</v>
      </c>
      <c r="J6" s="5" t="b">
        <v>0</v>
      </c>
      <c r="K6" s="6" t="b">
        <v>0</v>
      </c>
      <c r="L6" s="5" t="b">
        <v>0</v>
      </c>
      <c r="M6" s="6" t="b">
        <v>1</v>
      </c>
      <c r="N6" s="6" t="b">
        <v>0</v>
      </c>
      <c r="O6" s="5">
        <f>C6*(IF(F6=TRUE, 8000, 0)+IF(G6=TRUE, 3000, 0)+IF(H6=TRUE, 12000, 0)+IF(I6=TRUE, 6000, 0)+IF(J6=TRUE, 10000, 0)+IF(K6=TRUE, 4000, 0)+IF(L6=TRUE, 5000, 0)+IF(M6=TRUE, 15000, 0)+IF(N6=TRUE, 2000*C5, 0)+VLOOKUP(B6, Sheet1!D12:E14, 2, FALSE))</f>
        <v>126000</v>
      </c>
    </row>
    <row r="7" spans="1:15" ht="12.5">
      <c r="A7" s="4" t="s">
        <v>26</v>
      </c>
      <c r="B7" s="4" t="s">
        <v>17</v>
      </c>
      <c r="C7" s="4">
        <v>1</v>
      </c>
      <c r="D7" s="4" t="s">
        <v>27</v>
      </c>
      <c r="E7" s="4">
        <v>5</v>
      </c>
      <c r="F7" s="4" t="b">
        <v>1</v>
      </c>
      <c r="G7" s="5" t="b">
        <v>0</v>
      </c>
      <c r="H7" s="6" t="b">
        <v>1</v>
      </c>
      <c r="I7" s="5" t="b">
        <v>0</v>
      </c>
      <c r="J7" s="6" t="b">
        <v>1</v>
      </c>
      <c r="K7" s="5" t="b">
        <v>0</v>
      </c>
      <c r="L7" s="6" t="b">
        <v>0</v>
      </c>
      <c r="M7" s="6" t="b">
        <v>1</v>
      </c>
      <c r="N7" s="6" t="b">
        <v>1</v>
      </c>
      <c r="O7" s="5">
        <f>C7*(IF(F7=TRUE, 8000, 0)+IF(G7=TRUE, 3000, 0)+IF(H7=TRUE, 12000, 0)+IF(I7=TRUE, 6000, 0)+IF(J7=TRUE, 10000, 0)+IF(K7=TRUE, 4000, 0)+IF(L7=TRUE, 5000, 0)+IF(M7=TRUE, 15000, 0)+IF(N7=TRUE, 2000*C6, 0)+VLOOKUP(B7, Sheet1!D12:E14, 2, FALSE))</f>
        <v>89000</v>
      </c>
    </row>
    <row r="9" spans="1:15" ht="12.5">
      <c r="A9" s="9"/>
      <c r="B9" s="9"/>
      <c r="C9" s="9"/>
      <c r="D9" s="9"/>
      <c r="E9" s="9"/>
    </row>
    <row r="10" spans="1:15" ht="15.75" customHeight="1">
      <c r="A10" s="9"/>
      <c r="B10" s="9"/>
      <c r="C10" s="9"/>
      <c r="D10" s="9"/>
      <c r="E10" s="10"/>
    </row>
    <row r="11" spans="1:15" ht="15.75" customHeight="1">
      <c r="A11" s="11" t="s">
        <v>28</v>
      </c>
      <c r="B11" s="11" t="s">
        <v>29</v>
      </c>
      <c r="C11" s="9"/>
      <c r="D11" s="12" t="s">
        <v>2</v>
      </c>
      <c r="E11" s="13" t="s">
        <v>30</v>
      </c>
    </row>
    <row r="12" spans="1:15" ht="25.5" customHeight="1">
      <c r="A12" s="14" t="s">
        <v>6</v>
      </c>
      <c r="B12" s="15">
        <v>8000</v>
      </c>
      <c r="C12" s="9"/>
      <c r="D12" s="30" t="s">
        <v>17</v>
      </c>
      <c r="E12" s="17">
        <v>40000</v>
      </c>
    </row>
    <row r="13" spans="1:15" ht="22.5" customHeight="1">
      <c r="A13" s="18" t="s">
        <v>7</v>
      </c>
      <c r="B13" s="19">
        <v>3000</v>
      </c>
      <c r="C13" s="9"/>
      <c r="D13" s="16" t="s">
        <v>20</v>
      </c>
      <c r="E13" s="17">
        <v>34000</v>
      </c>
    </row>
    <row r="14" spans="1:15" ht="22.5" customHeight="1">
      <c r="A14" s="14" t="s">
        <v>31</v>
      </c>
      <c r="B14" s="15">
        <v>12000</v>
      </c>
      <c r="C14" s="9"/>
      <c r="D14" s="20" t="s">
        <v>25</v>
      </c>
      <c r="E14" s="21">
        <v>37000</v>
      </c>
    </row>
    <row r="15" spans="1:15" ht="22.5" customHeight="1">
      <c r="A15" s="22" t="s">
        <v>9</v>
      </c>
      <c r="B15" s="23">
        <v>6000</v>
      </c>
      <c r="C15" s="9"/>
    </row>
    <row r="16" spans="1:15" ht="22.5" customHeight="1">
      <c r="A16" s="22" t="s">
        <v>10</v>
      </c>
      <c r="B16" s="23">
        <v>10000</v>
      </c>
    </row>
    <row r="17" spans="1:4" ht="22.5" customHeight="1">
      <c r="A17" s="22" t="s">
        <v>11</v>
      </c>
      <c r="B17" s="23">
        <v>4000</v>
      </c>
    </row>
    <row r="18" spans="1:4" ht="22.5" customHeight="1">
      <c r="A18" s="22" t="s">
        <v>12</v>
      </c>
      <c r="B18" s="23">
        <v>5000</v>
      </c>
      <c r="C18" s="9"/>
    </row>
    <row r="19" spans="1:4" ht="22.5" customHeight="1">
      <c r="A19" s="22" t="s">
        <v>13</v>
      </c>
      <c r="B19" s="23">
        <v>15000</v>
      </c>
      <c r="C19" s="9"/>
    </row>
    <row r="20" spans="1:4" ht="12.5">
      <c r="A20" s="9"/>
      <c r="B20" s="9"/>
      <c r="C20" s="9"/>
      <c r="D20" s="9"/>
    </row>
    <row r="21" spans="1:4" ht="14.25" customHeight="1" thickBot="1">
      <c r="A21" s="9"/>
      <c r="B21" s="9"/>
      <c r="C21" s="9"/>
      <c r="D21" s="9"/>
    </row>
    <row r="22" spans="1:4" ht="17.25" customHeight="1">
      <c r="A22" s="37" t="s">
        <v>32</v>
      </c>
      <c r="B22" s="38"/>
      <c r="C22" s="9"/>
      <c r="D22" s="9"/>
    </row>
    <row r="23" spans="1:4" ht="12.5">
      <c r="A23" s="24" t="s">
        <v>33</v>
      </c>
      <c r="B23" s="25">
        <f>SUM(C3:C7)</f>
        <v>21</v>
      </c>
    </row>
    <row r="24" spans="1:4" ht="12.5">
      <c r="A24" s="39" t="s">
        <v>34</v>
      </c>
      <c r="B24" s="40"/>
    </row>
    <row r="25" spans="1:4" ht="12.5">
      <c r="A25" s="26" t="s">
        <v>35</v>
      </c>
      <c r="B25" s="25">
        <f>SUMIF(B3:B7, "Naran Package", O3:O7)</f>
        <v>474000</v>
      </c>
    </row>
    <row r="26" spans="1:4" ht="12.5">
      <c r="A26" s="26" t="s">
        <v>36</v>
      </c>
      <c r="B26" s="25">
        <f>SUMIF(B3:B7, "Hunza Package",O3:O7 )</f>
        <v>126000</v>
      </c>
    </row>
    <row r="27" spans="1:4" ht="12.5">
      <c r="A27" s="26" t="s">
        <v>37</v>
      </c>
      <c r="B27" s="25">
        <f>SUMIF(B3:B7, "Azad Kashmir Package",O3:O7 )</f>
        <v>901000</v>
      </c>
    </row>
    <row r="28" spans="1:4" ht="12.5">
      <c r="A28" s="26" t="s">
        <v>38</v>
      </c>
      <c r="B28" s="25">
        <f>SUM(O2:O7)</f>
        <v>1501000</v>
      </c>
    </row>
    <row r="29" spans="1:4" ht="12.5">
      <c r="A29" s="33" t="s">
        <v>39</v>
      </c>
      <c r="B29" s="34"/>
    </row>
    <row r="30" spans="1:4" ht="12.5">
      <c r="A30" s="26" t="s">
        <v>40</v>
      </c>
      <c r="B30" s="25">
        <f>COUNTIF(B3:B7,"Naran Package")+COUNTIF(B3:B7,"Hunza Package")+COUNTIF(B3:B7,"Azad Kashmir Package")</f>
        <v>5</v>
      </c>
    </row>
    <row r="31" spans="1:4" ht="12.5">
      <c r="A31" s="26" t="s">
        <v>41</v>
      </c>
      <c r="B31" s="25">
        <f>B28/B30</f>
        <v>300200</v>
      </c>
      <c r="C31" s="9"/>
      <c r="D31" s="9"/>
    </row>
    <row r="32" spans="1:4" ht="12.5">
      <c r="A32" s="26" t="s">
        <v>25</v>
      </c>
      <c r="B32" s="25">
        <f>COUNTIF(B3:B7,"Hunza Package")</f>
        <v>1</v>
      </c>
      <c r="C32" s="9"/>
    </row>
    <row r="33" spans="1:4" ht="12.5">
      <c r="A33" s="26" t="s">
        <v>20</v>
      </c>
      <c r="B33" s="25">
        <f>COUNTIF(B3:B7,"Naran Package")</f>
        <v>1</v>
      </c>
      <c r="C33" s="9"/>
    </row>
    <row r="34" spans="1:4" ht="12.5">
      <c r="A34" s="26" t="s">
        <v>17</v>
      </c>
      <c r="B34" s="25">
        <f>COUNTIF(B3:B7,"Azad Kashmir Package")</f>
        <v>3</v>
      </c>
      <c r="C34" s="9"/>
    </row>
    <row r="35" spans="1:4" ht="12.5">
      <c r="A35" s="26" t="s">
        <v>42</v>
      </c>
      <c r="B35" s="25" t="str">
        <f t="array" ref="B35">INDEX(A32:A34, MATCH(MAX(B32:B34), B32:B34, 0))</f>
        <v>Azad Kashmir Package</v>
      </c>
      <c r="C35" s="9"/>
    </row>
    <row r="36" spans="1:4" ht="12.5">
      <c r="A36" s="31" t="s">
        <v>43</v>
      </c>
      <c r="B36" s="32"/>
      <c r="C36" s="9"/>
      <c r="D36" s="9"/>
    </row>
    <row r="37" spans="1:4" ht="12.5">
      <c r="A37" s="27" t="s">
        <v>6</v>
      </c>
      <c r="B37" s="25">
        <f>COUNTIF(F3:F7,TRUE)</f>
        <v>5</v>
      </c>
      <c r="C37" s="9"/>
      <c r="D37" s="9"/>
    </row>
    <row r="38" spans="1:4" ht="12.5">
      <c r="A38" s="27" t="s">
        <v>7</v>
      </c>
      <c r="B38" s="25">
        <f>COUNTIF(G3:G7,TRUE)</f>
        <v>3</v>
      </c>
      <c r="C38" s="9"/>
      <c r="D38" s="9"/>
    </row>
    <row r="39" spans="1:4" ht="12.5">
      <c r="A39" s="27" t="s">
        <v>8</v>
      </c>
      <c r="B39" s="25">
        <f>COUNTIF(H3:H7,TRUE)</f>
        <v>1</v>
      </c>
      <c r="C39" s="9"/>
      <c r="D39" s="9"/>
    </row>
    <row r="40" spans="1:4" ht="12.5">
      <c r="A40" s="27" t="s">
        <v>9</v>
      </c>
      <c r="B40" s="25">
        <f>COUNTIF(I3:I7,TRUE)</f>
        <v>1</v>
      </c>
      <c r="C40" s="9"/>
      <c r="D40" s="9"/>
    </row>
    <row r="41" spans="1:4" ht="12.5">
      <c r="A41" s="27" t="s">
        <v>10</v>
      </c>
      <c r="B41" s="25">
        <f>COUNTIF(J3:J7,TRUE)</f>
        <v>2</v>
      </c>
      <c r="C41" s="9"/>
      <c r="D41" s="9"/>
    </row>
    <row r="42" spans="1:4" ht="12.5">
      <c r="A42" s="27" t="s">
        <v>11</v>
      </c>
      <c r="B42" s="25">
        <f>COUNTIF(K3:K7, TRUE)</f>
        <v>1</v>
      </c>
      <c r="C42" s="9"/>
      <c r="D42" s="9"/>
    </row>
    <row r="43" spans="1:4" ht="12.5">
      <c r="A43" s="27" t="s">
        <v>12</v>
      </c>
      <c r="B43" s="25">
        <f>COUNTIF(L3:L7, TRUE)</f>
        <v>2</v>
      </c>
      <c r="C43" s="9"/>
      <c r="D43" s="9"/>
    </row>
    <row r="44" spans="1:4" ht="12.5">
      <c r="A44" s="27" t="s">
        <v>13</v>
      </c>
      <c r="B44" s="25">
        <f>COUNTIF(M3:M7, TRUE)</f>
        <v>4</v>
      </c>
      <c r="C44" s="9"/>
      <c r="D44" s="9"/>
    </row>
    <row r="45" spans="1:4" ht="13" thickBot="1">
      <c r="A45" s="28" t="s">
        <v>44</v>
      </c>
      <c r="B45" s="29" t="str">
        <f t="array" ref="B45">INDEX(A37:A44, MATCH(MAX(B37:B44),B37:B44, 0))</f>
        <v>Paragliding</v>
      </c>
      <c r="C45" s="9"/>
      <c r="D45" s="9"/>
    </row>
    <row r="46" spans="1:4" ht="12.5">
      <c r="A46" s="9"/>
      <c r="B46" s="9"/>
      <c r="C46" s="9"/>
      <c r="D46" s="9"/>
    </row>
    <row r="47" spans="1:4" ht="12.5">
      <c r="A47" s="9"/>
      <c r="B47" s="9"/>
      <c r="C47" s="9"/>
      <c r="D47" s="9"/>
    </row>
    <row r="48" spans="1:4" ht="12.5">
      <c r="A48" s="9"/>
    </row>
  </sheetData>
  <mergeCells count="5">
    <mergeCell ref="A36:B36"/>
    <mergeCell ref="A29:B29"/>
    <mergeCell ref="A1:O1"/>
    <mergeCell ref="A22:B22"/>
    <mergeCell ref="A24:B24"/>
  </mergeCells>
  <dataValidations count="4">
    <dataValidation type="custom" allowBlank="1" showDropDown="1" showInputMessage="1" showErrorMessage="1" prompt="Invalid Email" sqref="A3:A7">
      <formula1>IFERROR(ISEMAIL(A3), TRUE)</formula1>
    </dataValidation>
    <dataValidation type="list" allowBlank="1" showErrorMessage="1" sqref="B3:B7">
      <formula1>"Naran Package,Azad Kashmir Package,Hunza Package"</formula1>
    </dataValidation>
    <dataValidation type="list" allowBlank="1" showErrorMessage="1" sqref="C3:C7">
      <formula1>"1,2,3,4,5,6,7,8"</formula1>
    </dataValidation>
    <dataValidation type="list" allowBlank="1" showInputMessage="1" showErrorMessage="1" sqref="F3:N7">
      <formula1>"True, False"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i5</dc:creator>
  <cp:lastModifiedBy>HP i5</cp:lastModifiedBy>
  <dcterms:created xsi:type="dcterms:W3CDTF">2026-01-07T21:10:21Z</dcterms:created>
  <dcterms:modified xsi:type="dcterms:W3CDTF">2026-01-07T21:10:22Z</dcterms:modified>
</cp:coreProperties>
</file>